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me\Dropbox\Software Projects\Commonwealth\ParmFiles\"/>
    </mc:Choice>
  </mc:AlternateContent>
  <xr:revisionPtr revIDLastSave="0" documentId="8_{187E38F7-735C-484F-9285-59493627530D}" xr6:coauthVersionLast="47" xr6:coauthVersionMax="47" xr10:uidLastSave="{00000000-0000-0000-0000-000000000000}"/>
  <bookViews>
    <workbookView xWindow="25490" yWindow="-110" windowWidth="38620" windowHeight="21100" xr2:uid="{3AD2E0C6-0E40-4CB0-BCE0-81413EE28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C26" i="1"/>
  <c r="H24" i="1"/>
  <c r="J23" i="1"/>
  <c r="I23" i="1"/>
  <c r="H23" i="1"/>
  <c r="H25" i="1" s="1"/>
  <c r="I24" i="1" l="1"/>
  <c r="I25" i="1" s="1"/>
  <c r="I26" i="1" s="1"/>
  <c r="H28" i="1"/>
  <c r="J24" i="1" l="1"/>
  <c r="I28" i="1"/>
  <c r="J25" i="1" l="1"/>
  <c r="J26" i="1" s="1"/>
  <c r="J28" i="1" l="1"/>
  <c r="K24" i="1"/>
</calcChain>
</file>

<file path=xl/sharedStrings.xml><?xml version="1.0" encoding="utf-8"?>
<sst xmlns="http://schemas.openxmlformats.org/spreadsheetml/2006/main" count="11" uniqueCount="11">
  <si>
    <t>Nation1</t>
  </si>
  <si>
    <t>Nation2</t>
  </si>
  <si>
    <t>Villages</t>
  </si>
  <si>
    <t>Wages</t>
  </si>
  <si>
    <t>Nation3</t>
  </si>
  <si>
    <t>Capacity</t>
  </si>
  <si>
    <t>Pop</t>
  </si>
  <si>
    <t>Workers Desired</t>
  </si>
  <si>
    <t>Workers Assigned</t>
  </si>
  <si>
    <t>Workers available</t>
  </si>
  <si>
    <t>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</si>
</sst>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D030-BE12-46F4-9154-61E438EF33C1}">
  <dimension ref="B1:K28"/>
  <sheetViews>
    <sheetView tabSelected="1" topLeftCell="A4" zoomScale="120" zoomScaleNormal="120" workbookViewId="0">
      <selection activeCell="J21" sqref="J21"/>
    </sheetView>
  </sheetViews>
  <sheetFormatPr defaultRowHeight="14.5" x14ac:dyDescent="0.35"/>
  <cols>
    <col min="8" max="10" width="8.7265625" style="1"/>
  </cols>
  <sheetData>
    <row r="1" customFormat="1" x14ac:dyDescent="0.35"/>
    <row r="2" customFormat="1" x14ac:dyDescent="0.35"/>
    <row r="3" customFormat="1" x14ac:dyDescent="0.35"/>
    <row r="4" customFormat="1" x14ac:dyDescent="0.35"/>
    <row r="5" customFormat="1" x14ac:dyDescent="0.35"/>
    <row r="6" customFormat="1" x14ac:dyDescent="0.35"/>
    <row r="7" customFormat="1" x14ac:dyDescent="0.35"/>
    <row r="8" customFormat="1" x14ac:dyDescent="0.35"/>
    <row r="9" customFormat="1" x14ac:dyDescent="0.35"/>
    <row r="10" customFormat="1" x14ac:dyDescent="0.35"/>
    <row r="11" customFormat="1" x14ac:dyDescent="0.35"/>
    <row r="12" customFormat="1" x14ac:dyDescent="0.35"/>
    <row r="13" customFormat="1" x14ac:dyDescent="0.35"/>
    <row r="14" customFormat="1" x14ac:dyDescent="0.35"/>
    <row r="15" customFormat="1" x14ac:dyDescent="0.35"/>
    <row r="16" customFormat="1" x14ac:dyDescent="0.35"/>
    <row r="19" spans="2:11" x14ac:dyDescent="0.35">
      <c r="H19" s="1" t="s">
        <v>0</v>
      </c>
      <c r="I19" s="1" t="s">
        <v>1</v>
      </c>
      <c r="J19" s="1" t="s">
        <v>4</v>
      </c>
    </row>
    <row r="20" spans="2:11" x14ac:dyDescent="0.35">
      <c r="G20" s="2" t="s">
        <v>2</v>
      </c>
      <c r="H20" s="1">
        <v>5</v>
      </c>
      <c r="I20" s="1">
        <v>5</v>
      </c>
      <c r="J20" s="1">
        <v>6</v>
      </c>
    </row>
    <row r="21" spans="2:11" x14ac:dyDescent="0.35">
      <c r="G21" s="2" t="s">
        <v>3</v>
      </c>
      <c r="H21" s="1">
        <v>9</v>
      </c>
      <c r="I21" s="1">
        <v>8</v>
      </c>
      <c r="J21" s="1">
        <v>1</v>
      </c>
    </row>
    <row r="22" spans="2:11" x14ac:dyDescent="0.35">
      <c r="G22" s="2"/>
    </row>
    <row r="23" spans="2:11" x14ac:dyDescent="0.35">
      <c r="C23">
        <v>400</v>
      </c>
      <c r="G23" s="2" t="s">
        <v>7</v>
      </c>
      <c r="H23" s="1">
        <f>H20*$C$23</f>
        <v>2000</v>
      </c>
      <c r="I23" s="1">
        <f>I20*$C$23</f>
        <v>2000</v>
      </c>
      <c r="J23" s="1">
        <f>J20*$C$23</f>
        <v>2400</v>
      </c>
    </row>
    <row r="24" spans="2:11" x14ac:dyDescent="0.35">
      <c r="B24" t="s">
        <v>6</v>
      </c>
      <c r="C24">
        <v>6000</v>
      </c>
      <c r="G24" s="2" t="s">
        <v>9</v>
      </c>
      <c r="H24" s="1">
        <f>$C$24</f>
        <v>6000</v>
      </c>
      <c r="I24" s="1">
        <f>H24-H25</f>
        <v>4000</v>
      </c>
      <c r="J24" s="1">
        <f>I24-I25</f>
        <v>2000</v>
      </c>
      <c r="K24" s="1">
        <f>J24-J25</f>
        <v>0</v>
      </c>
    </row>
    <row r="25" spans="2:11" x14ac:dyDescent="0.35">
      <c r="G25" s="2" t="s">
        <v>8</v>
      </c>
      <c r="H25" s="1">
        <f>MIN(H23,H24)</f>
        <v>2000</v>
      </c>
      <c r="I25" s="1">
        <f>MIN(I23,I24)</f>
        <v>2000</v>
      </c>
      <c r="J25" s="1">
        <f>MIN(J23,J24)</f>
        <v>2000</v>
      </c>
    </row>
    <row r="26" spans="2:11" x14ac:dyDescent="0.35">
      <c r="C26">
        <f>C24/C23</f>
        <v>15</v>
      </c>
      <c r="G26" s="2" t="s">
        <v>5</v>
      </c>
      <c r="H26" s="3">
        <f>IF(H25&gt;0,(H25/H20)/$C$23,0)</f>
        <v>1</v>
      </c>
      <c r="I26" s="3">
        <f>IF(I25&gt;0,(I25/I20)/$C$23,0)</f>
        <v>1</v>
      </c>
      <c r="J26" s="3">
        <f>IF(J25&gt;0,(J25/J20)/$C$23,0)</f>
        <v>0.83333333333333326</v>
      </c>
    </row>
    <row r="28" spans="2:11" x14ac:dyDescent="0.35">
      <c r="G28" s="2" t="s">
        <v>10</v>
      </c>
      <c r="H28" s="1">
        <f>H25*H21</f>
        <v>18000</v>
      </c>
      <c r="I28" s="1">
        <f>I25*I21</f>
        <v>16000</v>
      </c>
      <c r="J28" s="1">
        <f>J25*J21</f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Grimes</dc:creator>
  <cp:lastModifiedBy>Michael Grimes</cp:lastModifiedBy>
  <dcterms:created xsi:type="dcterms:W3CDTF">2026-02-13T23:24:07Z</dcterms:created>
  <dcterms:modified xsi:type="dcterms:W3CDTF">2026-02-14T01:17:59Z</dcterms:modified>
</cp:coreProperties>
</file>